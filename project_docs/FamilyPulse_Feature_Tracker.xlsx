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ature Backlog" sheetId="1" state="visible" r:id="rId3"/>
    <sheet name="Contribution Log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<sst xmlns="http://schemas.openxmlformats.org/spreadsheetml/2006/main" count="210" uniqueCount="122">
  <si>
    <t xml:space="preserve">FamilyPulse — Feature Backlog</t>
  </si>
  <si>
    <t xml:space="preserve">Legend: yellow cells are for the team to fill in (Owner, Priority on new rows). Status/Priority already set for Rex's work this session; update as things move.</t>
  </si>
  <si>
    <t xml:space="preserve">Feature</t>
  </si>
  <si>
    <t xml:space="preserve">Category</t>
  </si>
  <si>
    <t xml:space="preserve">Description</t>
  </si>
  <si>
    <t xml:space="preserve">Status</t>
  </si>
  <si>
    <t xml:space="preserve">Priority</t>
  </si>
  <si>
    <t xml:space="preserve">Owner</t>
  </si>
  <si>
    <t xml:space="preserve">Notes</t>
  </si>
  <si>
    <t xml:space="preserve">Summary</t>
  </si>
  <si>
    <t xml:space="preserve">Password show/hide toggle</t>
  </si>
  <si>
    <t xml:space="preserve">Auth</t>
  </si>
  <si>
    <t xml:space="preserve">Eye icon on password fields (login + signup) to reveal/hide input.</t>
  </si>
  <si>
    <t xml:space="preserve">Done</t>
  </si>
  <si>
    <t xml:space="preserve">High</t>
  </si>
  <si>
    <t xml:space="preserve">Rex</t>
  </si>
  <si>
    <t xml:space="preserve">Shipped this session.</t>
  </si>
  <si>
    <t xml:space="preserve">Confirm email / confirm password</t>
  </si>
  <si>
    <t xml:space="preserve">Signup gets a second email field and second password field, validated to match, with live re-check as you fix a typo.</t>
  </si>
  <si>
    <t xml:space="preserve">Done (existing)</t>
  </si>
  <si>
    <t xml:space="preserve">Light / dark mode</t>
  </si>
  <si>
    <t xml:space="preserve">Personalization</t>
  </si>
  <si>
    <t xml:space="preserve">Full theme system (System/Light/Dark) via a persisted setting, real Material 3 dark palette.</t>
  </si>
  <si>
    <t xml:space="preserve">Persists across restarts via shared_preferences.</t>
  </si>
  <si>
    <t xml:space="preserve">Roadmap</t>
  </si>
  <si>
    <t xml:space="preserve">Settings screen</t>
  </si>
  <si>
    <t xml:space="preserve">Appearance, your name (editable), your family (name/created/code+copy), calendar default, sign out.</t>
  </si>
  <si>
    <t xml:space="preserve">Was assigned to Tatu earlier — reassign Tatu to another item below.</t>
  </si>
  <si>
    <t xml:space="preserve">Total features</t>
  </si>
  <si>
    <t xml:space="preserve">Sign-out confirmation</t>
  </si>
  <si>
    <t xml:space="preserve">"Are you sure?" dialog before signing out, instead of an instant, unconfirmable logout.</t>
  </si>
  <si>
    <t xml:space="preserve">Medium</t>
  </si>
  <si>
    <t xml:space="preserve">Applied to all 3 sign-out entry points (Pulse, Family Choice, Settings).</t>
  </si>
  <si>
    <t xml:space="preserve">Family name + creation date</t>
  </si>
  <si>
    <t xml:space="preserve">Family</t>
  </si>
  <si>
    <t xml:space="preserve">Shown in Settings, pulled from the existing Firestore family doc.</t>
  </si>
  <si>
    <t xml:space="preserve">Low</t>
  </si>
  <si>
    <t xml:space="preserve">No new backend needed — field already existed.</t>
  </si>
  <si>
    <t xml:space="preserve">Referral / family code</t>
  </si>
  <si>
    <t xml:space="preserve">Family code (the Firestore family ID) shown with a Copy button in Settings and the post-create dialog.</t>
  </si>
  <si>
    <t xml:space="preserve">Kid-friendly polish (QR code, shorter code) still open — see roadmap.</t>
  </si>
  <si>
    <t xml:space="preserve">Personal display name edit</t>
  </si>
  <si>
    <t xml:space="preserve">Edit your own name from Settings; updates Firebase Auth profile.</t>
  </si>
  <si>
    <t xml:space="preserve">Multiple users per family</t>
  </si>
  <si>
    <t xml:space="preserve">Firestore members subcollection already supports any number of members.</t>
  </si>
  <si>
    <t xml:space="preserve">-</t>
  </si>
  <si>
    <t xml:space="preserve">Igor</t>
  </si>
  <si>
    <t xml:space="preserve">Confirm this is still true once Igor/Tatu's work merges in.</t>
  </si>
  <si>
    <t xml:space="preserve">Unique user IDs</t>
  </si>
  <si>
    <t xml:space="preserve">Every user already has a Firebase Auth UID; used throughout for events/membership.</t>
  </si>
  <si>
    <t xml:space="preserve">Already working — no build needed.</t>
  </si>
  <si>
    <t xml:space="preserve">Create a family</t>
  </si>
  <si>
    <t xml:space="preserve">Existing flow: name + your name, generates a shareable code.</t>
  </si>
  <si>
    <t xml:space="preserve">Join a family</t>
  </si>
  <si>
    <t xml:space="preserve">Existing flow: code + your name + role.</t>
  </si>
  <si>
    <t xml:space="preserve">Analytics page</t>
  </si>
  <si>
    <t xml:space="preserve">Insights</t>
  </si>
  <si>
    <t xml:space="preserve">Stats on family activity: total events, busiest day of the week, who's added the most, category breakdown, next-7-days load.</t>
  </si>
  <si>
    <t xml:space="preserve">Built as a client-side view over existing event data — no new backend needed, as planned.</t>
  </si>
  <si>
    <t xml:space="preserve">Free time finder</t>
  </si>
  <si>
    <t xml:space="preserve">Calendar</t>
  </si>
  <si>
    <t xml:space="preserve">Overlays every member's events to highlight shared open windows; tap a slot to create an event there.</t>
  </si>
  <si>
    <t xml:space="preserve">Rex (screen) / Igor (backend)</t>
  </si>
  <si>
    <t xml:space="preserve">EventService.findFreeSlots() was Igor's; the screen consuming it was built this session.</t>
  </si>
  <si>
    <t xml:space="preserve">Fix dead /family and /free-time links</t>
  </si>
  <si>
    <t xml:space="preserve">Navigation</t>
  </si>
  <si>
    <t xml:space="preserve">Pulse's "Family" and "Free time" buttons used to throw GoException — both routes are now wired up, plus new Groups/Analytics/Profile routes.</t>
  </si>
  <si>
    <t xml:space="preserve">Also added the Groups, Analytics, and Profile routes as part of the same pass.</t>
  </si>
  <si>
    <t xml:space="preserve">Create a group (sub-group in family)</t>
  </si>
  <si>
    <t xml:space="preserve">A named sub-group (e.g. "Kids", "Chores squad") holding a subset of family members.</t>
  </si>
  <si>
    <t xml:space="preserve">MVP: name + member picker, create/rename/delete. No group-specific calendar yet — that's still future scope if wanted.</t>
  </si>
  <si>
    <t xml:space="preserve">Personal profile + nav redesign</t>
  </si>
  <si>
    <t xml:space="preserve">Left-side navigation drawer (Home, Calendar, Family, Groups, Free time, Analytics, Profile, Settings) plus a dedicated Profile screen.</t>
  </si>
  <si>
    <t xml:space="preserve">Profile edits now keep Firebase Auth's displayName and the Firestore member doc in sync — previously Settings only updated Auth, silently drifting from the Family roster.</t>
  </si>
  <si>
    <t xml:space="preserve">Parent can rename other members</t>
  </si>
  <si>
    <t xml:space="preserve">Family / Roles</t>
  </si>
  <si>
    <t xml:space="preserve">A parent can edit another member's display name and label directly from the Family screen.</t>
  </si>
  <si>
    <t xml:space="preserve">Enforced server-side too: firestore.rules restricts a non-self update to exactly the name/label fields, and only when the caller's own role is 'parent'.</t>
  </si>
  <si>
    <t xml:space="preserve">Expanded roles</t>
  </si>
  <si>
    <t xml:space="preserve">Role list expanded from parent/child to parent/child/guardian/other.</t>
  </si>
  <si>
    <t xml:space="preserve">Only 'parent' unlocks parent-only actions — adding a role doesn't by itself grant new permissions.</t>
  </si>
  <si>
    <t xml:space="preserve">Differentiate both parents</t>
  </si>
  <si>
    <t xml:space="preserve">Optional free-text label ("Mom", "Dad", "Grandma") shown alongside the role, settable by each member for themselves or by a parent for someone else.</t>
  </si>
  <si>
    <t xml:space="preserve">Deliberately simple (free text, not a fixed enum) so it fits any family shape, not just a two-parent household.</t>
  </si>
  <si>
    <t xml:space="preserve">Event categories</t>
  </si>
  <si>
    <t xml:space="preserve">Real categories (School / Hobby / Work / Other) with distinct icons and colors — previously every event silently saved as "other" with no way to change it.</t>
  </si>
  <si>
    <t xml:space="preserve">Unlocked the Analytics page's "by category" breakdown, which wasn't meaningful until this landed.</t>
  </si>
  <si>
    <t xml:space="preserve">Color theme picker</t>
  </si>
  <si>
    <t xml:space="preserve">Six named color palettes (Blue Rose, Sunny Meadow, Coral Reef, Ocean Pop, Berry Patch, Aurora) selectable in Settings, each a real two-tone Material 3 scheme, persisted per user.</t>
  </si>
  <si>
    <t xml:space="preserve">Kid-friendly by design — selection uses a ring + checkmark, not color alone.</t>
  </si>
  <si>
    <t xml:space="preserve">English / Finnish / Swedish localization</t>
  </si>
  <si>
    <t xml:space="preserve">Full app translation (206 strings) via flutter_localizations + intl, with a Language picker in Settings (System/English/Suomi/Svenska); dates and times are locale-aware via DateFormat.</t>
  </si>
  <si>
    <t xml:space="preserve">Also localized auth/family error messages, not just static UI labels.</t>
  </si>
  <si>
    <t xml:space="preserve">Profile photo, age &amp; gender</t>
  </si>
  <si>
    <t xml:space="preserve">Edit Profile now includes an avatar (camera or gallery, uploaded to Firebase Storage) plus optional age and gender fields, shown on the Profile screen.</t>
  </si>
  <si>
    <t xml:space="preserve">Storage rules restrict writes to your own file (5MB cap, images only); project upgraded to Blaze with a $1 budget alert so cost stays at $0.</t>
  </si>
  <si>
    <t xml:space="preserve">Recurring events &amp; reminders</t>
  </si>
  <si>
    <t xml:space="preserve">Repeating events (e.g. weekly practice) and reminder notifications ahead of an event.</t>
  </si>
  <si>
    <t xml:space="preserve">TBD</t>
  </si>
  <si>
    <t xml:space="preserve">Still open — meaningfully bigger scope (recurrence rules, notification scheduling) than the category work.</t>
  </si>
  <si>
    <t xml:space="preserve">FamilyPulse — Team Contribution Log</t>
  </si>
  <si>
    <t xml:space="preserve">Legend: yellow cells (Hours Logged) are estimates for each person to fill in / confirm themselves — do not guess on someone else's behalf.</t>
  </si>
  <si>
    <t xml:space="preserve">Team Member</t>
  </si>
  <si>
    <t xml:space="preserve">Focus Area</t>
  </si>
  <si>
    <t xml:space="preserve">Key Contributions So Far</t>
  </si>
  <si>
    <t xml:space="preserve">Hours Logged (self-reported)</t>
  </si>
  <si>
    <t xml:space="preserve">Flutter build / Firestore / UX</t>
  </si>
  <si>
    <t xml:space="preserve">Firestore wiring for calendar &amp; events (create/edit/delete), validation and error/success UX across auth + event editor, Welcome screen and auth gating, sign-out relocation + confirmation, theme system + Settings screen, Firestore security-rules fix for first-time family joins, Analytics page, Free Time finder screen, Family Groups, expanded roles + parent-rename (with matching security rules), real event categories, nav drawer + Profile screen, CI build-failure email alerts, several bug fixes (dialog crash, family-code race, pre-commit hook).</t>
  </si>
  <si>
    <t xml:space="preserve">Self-reported by Rex (as of Aug 26, 2026): ~200 hours total across research, core app build, Firebase/Storage setup, and CI/CD pipeline work. An estimate, not independently timestamped.</t>
  </si>
  <si>
    <t xml:space="preserve">Jimmy Söderström</t>
  </si>
  <si>
    <t xml:space="preserve">Report / documentation</t>
  </si>
  <si>
    <t xml:space="preserve">Offered to start the report skeleton (intro/overview, architecture summary, contributions section).</t>
  </si>
  <si>
    <t xml:space="preserve">Confirm current status directly with Jimmy.</t>
  </si>
  <si>
    <t xml:space="preserve">Igor Smirnov</t>
  </si>
  <si>
    <t xml:space="preserve">Backend / calendar logic</t>
  </si>
  <si>
    <t xml:space="preserve">Built EventService.findFreeSlots(). Also spent recent weeks on a parallel FlutterFlow prototype — see report's Lessons Learned re: consolidating on one build.</t>
  </si>
  <si>
    <t xml:space="preserve">As of Aug 26, 2026: focused on the separate FlutterFlow build rather than this codebase — confirm current status and plans directly with Igor.</t>
  </si>
  <si>
    <t xml:space="preserve">Tatu Ekroth</t>
  </si>
  <si>
    <t xml:space="preserve">TBD — reassign</t>
  </si>
  <si>
    <t xml:space="preserve">Settings screen was assigned here but got built this session (see Feature Backlog) — needs a new assignment. Also spent recent weeks on the parallel FlutterFlow prototype.</t>
  </si>
  <si>
    <t xml:space="preserve">As of Aug 26, 2026: focused on the separate FlutterFlow build rather than this codebase — confirm current status and plans directly with Tatu.</t>
  </si>
  <si>
    <t xml:space="preserve">Total hours logged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</si>
</sst>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5C4A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5C4A"/>
        <bgColor rgb="FF003366"/>
      </patternFill>
    </fill>
    <fill>
      <patternFill patternType="solid">
        <fgColor rgb="FFD9EAD3"/>
        <bgColor rgb="FFFCE5CD"/>
      </patternFill>
    </fill>
    <fill>
      <patternFill patternType="solid">
        <fgColor rgb="FFFCE5CD"/>
        <bgColor rgb="FFFFF2CC"/>
      </patternFill>
    </fill>
    <fill>
      <patternFill patternType="solid">
        <fgColor rgb="FFFFF2CC"/>
        <bgColor rgb="FFFCE5C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CE5CD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5C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6"/>
    <col collapsed="false" customWidth="true" hidden="false" outlineLevel="0" max="3" min="3" style="1" width="46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6" min="6" style="1" width="16"/>
    <col collapsed="false" customWidth="true" hidden="false" outlineLevel="0" max="7" min="7" style="1" width="40"/>
    <col collapsed="false" customWidth="true" hidden="false" outlineLevel="0" max="9" min="9" style="1" width="16"/>
    <col collapsed="false" customWidth="true" hidden="false" outlineLevel="0" max="10" min="10" style="1" width="8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I4" s="5" t="s">
        <v>9</v>
      </c>
    </row>
    <row r="5" customFormat="false" ht="23.25" hidden="false" customHeight="true" outlineLevel="0" collapsed="false">
      <c r="A5" s="6" t="s">
        <v>10</v>
      </c>
      <c r="B5" s="6" t="s">
        <v>11</v>
      </c>
      <c r="C5" s="6" t="s">
        <v>12</v>
      </c>
      <c r="D5" s="7" t="s">
        <v>13</v>
      </c>
      <c r="E5" s="6" t="s">
        <v>14</v>
      </c>
      <c r="F5" s="6" t="s">
        <v>15</v>
      </c>
      <c r="G5" s="6" t="s">
        <v>16</v>
      </c>
      <c r="I5" s="8" t="s">
        <v>13</v>
      </c>
      <c r="J5" s="8" t="n">
        <f aca="false">COUNTIF(D5:D29,"Done")</f>
        <v>20</v>
      </c>
    </row>
    <row r="6" customFormat="false" ht="34.5" hidden="false" customHeight="true" outlineLevel="0" collapsed="false">
      <c r="A6" s="6" t="s">
        <v>17</v>
      </c>
      <c r="B6" s="6" t="s">
        <v>11</v>
      </c>
      <c r="C6" s="6" t="s">
        <v>18</v>
      </c>
      <c r="D6" s="7" t="s">
        <v>13</v>
      </c>
      <c r="E6" s="6" t="s">
        <v>14</v>
      </c>
      <c r="F6" s="6" t="s">
        <v>15</v>
      </c>
      <c r="G6" s="6" t="s">
        <v>16</v>
      </c>
      <c r="I6" s="8" t="s">
        <v>19</v>
      </c>
      <c r="J6" s="8" t="n">
        <f aca="false">COUNTIF(D5:D29,"Done (existing)")</f>
        <v>4</v>
      </c>
    </row>
    <row r="7" customFormat="false" ht="23.25" hidden="false" customHeight="true" outlineLevel="0" collapsed="false">
      <c r="A7" s="6" t="s">
        <v>20</v>
      </c>
      <c r="B7" s="6" t="s">
        <v>21</v>
      </c>
      <c r="C7" s="6" t="s">
        <v>22</v>
      </c>
      <c r="D7" s="7" t="s">
        <v>13</v>
      </c>
      <c r="E7" s="6" t="s">
        <v>14</v>
      </c>
      <c r="F7" s="6" t="s">
        <v>15</v>
      </c>
      <c r="G7" s="6" t="s">
        <v>23</v>
      </c>
      <c r="I7" s="8" t="s">
        <v>24</v>
      </c>
      <c r="J7" s="8" t="n">
        <f aca="false">COUNTIF(D5:D29,"Roadmap")</f>
        <v>1</v>
      </c>
    </row>
    <row r="8" customFormat="false" ht="23.25" hidden="false" customHeight="true" outlineLevel="0" collapsed="false">
      <c r="A8" s="6" t="s">
        <v>25</v>
      </c>
      <c r="B8" s="6" t="s">
        <v>21</v>
      </c>
      <c r="C8" s="6" t="s">
        <v>26</v>
      </c>
      <c r="D8" s="7" t="s">
        <v>13</v>
      </c>
      <c r="E8" s="6" t="s">
        <v>14</v>
      </c>
      <c r="F8" s="6" t="s">
        <v>15</v>
      </c>
      <c r="G8" s="6" t="s">
        <v>27</v>
      </c>
      <c r="I8" s="8" t="s">
        <v>28</v>
      </c>
      <c r="J8" s="8" t="n">
        <f aca="false">COUNTA(D5:D29)</f>
        <v>25</v>
      </c>
    </row>
    <row r="9" customFormat="false" ht="23.25" hidden="false" customHeight="true" outlineLevel="0" collapsed="false">
      <c r="A9" s="6" t="s">
        <v>29</v>
      </c>
      <c r="B9" s="6" t="s">
        <v>11</v>
      </c>
      <c r="C9" s="6" t="s">
        <v>30</v>
      </c>
      <c r="D9" s="7" t="s">
        <v>13</v>
      </c>
      <c r="E9" s="6" t="s">
        <v>31</v>
      </c>
      <c r="F9" s="6" t="s">
        <v>15</v>
      </c>
      <c r="G9" s="6" t="s">
        <v>32</v>
      </c>
    </row>
    <row r="10" customFormat="false" ht="23.25" hidden="false" customHeight="true" outlineLevel="0" collapsed="false">
      <c r="A10" s="6" t="s">
        <v>33</v>
      </c>
      <c r="B10" s="6" t="s">
        <v>34</v>
      </c>
      <c r="C10" s="6" t="s">
        <v>35</v>
      </c>
      <c r="D10" s="7" t="s">
        <v>13</v>
      </c>
      <c r="E10" s="6" t="s">
        <v>36</v>
      </c>
      <c r="F10" s="6" t="s">
        <v>15</v>
      </c>
      <c r="G10" s="6" t="s">
        <v>37</v>
      </c>
    </row>
    <row r="11" customFormat="false" ht="23.25" hidden="false" customHeight="true" outlineLevel="0" collapsed="false">
      <c r="A11" s="6" t="s">
        <v>38</v>
      </c>
      <c r="B11" s="6" t="s">
        <v>34</v>
      </c>
      <c r="C11" s="6" t="s">
        <v>39</v>
      </c>
      <c r="D11" s="7" t="s">
        <v>13</v>
      </c>
      <c r="E11" s="6" t="s">
        <v>31</v>
      </c>
      <c r="F11" s="6" t="s">
        <v>15</v>
      </c>
      <c r="G11" s="6" t="s">
        <v>40</v>
      </c>
    </row>
    <row r="12" customFormat="false" ht="23.25" hidden="false" customHeight="true" outlineLevel="0" collapsed="false">
      <c r="A12" s="6" t="s">
        <v>41</v>
      </c>
      <c r="B12" s="6" t="s">
        <v>21</v>
      </c>
      <c r="C12" s="6" t="s">
        <v>42</v>
      </c>
      <c r="D12" s="7" t="s">
        <v>13</v>
      </c>
      <c r="E12" s="6" t="s">
        <v>31</v>
      </c>
      <c r="F12" s="6" t="s">
        <v>15</v>
      </c>
      <c r="G12" s="6"/>
    </row>
    <row r="13" customFormat="false" ht="23.25" hidden="false" customHeight="true" outlineLevel="0" collapsed="false">
      <c r="A13" s="6" t="s">
        <v>43</v>
      </c>
      <c r="B13" s="6" t="s">
        <v>34</v>
      </c>
      <c r="C13" s="6" t="s">
        <v>44</v>
      </c>
      <c r="D13" s="7" t="s">
        <v>19</v>
      </c>
      <c r="E13" s="6" t="s">
        <v>45</v>
      </c>
      <c r="F13" s="6" t="s">
        <v>46</v>
      </c>
      <c r="G13" s="6" t="s">
        <v>47</v>
      </c>
    </row>
    <row r="14" customFormat="false" ht="23.25" hidden="false" customHeight="true" outlineLevel="0" collapsed="false">
      <c r="A14" s="6" t="s">
        <v>48</v>
      </c>
      <c r="B14" s="6" t="s">
        <v>34</v>
      </c>
      <c r="C14" s="6" t="s">
        <v>49</v>
      </c>
      <c r="D14" s="7" t="s">
        <v>19</v>
      </c>
      <c r="E14" s="6" t="s">
        <v>45</v>
      </c>
      <c r="F14" s="6" t="s">
        <v>45</v>
      </c>
      <c r="G14" s="6" t="s">
        <v>50</v>
      </c>
    </row>
    <row r="15" customFormat="false" ht="23.25" hidden="false" customHeight="true" outlineLevel="0" collapsed="false">
      <c r="A15" s="6" t="s">
        <v>51</v>
      </c>
      <c r="B15" s="6" t="s">
        <v>34</v>
      </c>
      <c r="C15" s="6" t="s">
        <v>52</v>
      </c>
      <c r="D15" s="7" t="s">
        <v>19</v>
      </c>
      <c r="E15" s="6" t="s">
        <v>45</v>
      </c>
      <c r="F15" s="6" t="s">
        <v>45</v>
      </c>
      <c r="G15" s="6"/>
    </row>
    <row r="16" customFormat="false" ht="15" hidden="false" customHeight="true" outlineLevel="0" collapsed="false">
      <c r="A16" s="6" t="s">
        <v>53</v>
      </c>
      <c r="B16" s="6" t="s">
        <v>34</v>
      </c>
      <c r="C16" s="6" t="s">
        <v>54</v>
      </c>
      <c r="D16" s="7" t="s">
        <v>19</v>
      </c>
      <c r="E16" s="6" t="s">
        <v>45</v>
      </c>
      <c r="F16" s="6" t="s">
        <v>45</v>
      </c>
      <c r="G16" s="6"/>
    </row>
    <row r="17" customFormat="false" ht="23.25" hidden="false" customHeight="true" outlineLevel="0" collapsed="false">
      <c r="A17" s="6" t="s">
        <v>55</v>
      </c>
      <c r="B17" s="6" t="s">
        <v>56</v>
      </c>
      <c r="C17" s="6" t="s">
        <v>57</v>
      </c>
      <c r="D17" s="7" t="s">
        <v>13</v>
      </c>
      <c r="E17" s="6" t="s">
        <v>14</v>
      </c>
      <c r="F17" s="6" t="s">
        <v>15</v>
      </c>
      <c r="G17" s="6" t="s">
        <v>58</v>
      </c>
    </row>
    <row r="18" customFormat="false" ht="23.25" hidden="false" customHeight="true" outlineLevel="0" collapsed="false">
      <c r="A18" s="6" t="s">
        <v>59</v>
      </c>
      <c r="B18" s="6" t="s">
        <v>60</v>
      </c>
      <c r="C18" s="6" t="s">
        <v>61</v>
      </c>
      <c r="D18" s="7" t="s">
        <v>13</v>
      </c>
      <c r="E18" s="6" t="s">
        <v>14</v>
      </c>
      <c r="F18" s="6" t="s">
        <v>62</v>
      </c>
      <c r="G18" s="6" t="s">
        <v>63</v>
      </c>
    </row>
    <row r="19" customFormat="false" ht="23.25" hidden="false" customHeight="true" outlineLevel="0" collapsed="false">
      <c r="A19" s="6" t="s">
        <v>64</v>
      </c>
      <c r="B19" s="6" t="s">
        <v>65</v>
      </c>
      <c r="C19" s="6" t="s">
        <v>66</v>
      </c>
      <c r="D19" s="7" t="s">
        <v>13</v>
      </c>
      <c r="E19" s="6" t="s">
        <v>14</v>
      </c>
      <c r="F19" s="6" t="s">
        <v>15</v>
      </c>
      <c r="G19" s="6" t="s">
        <v>67</v>
      </c>
    </row>
    <row r="20" customFormat="false" ht="23.25" hidden="false" customHeight="true" outlineLevel="0" collapsed="false">
      <c r="A20" s="6" t="s">
        <v>68</v>
      </c>
      <c r="B20" s="6" t="s">
        <v>34</v>
      </c>
      <c r="C20" s="6" t="s">
        <v>69</v>
      </c>
      <c r="D20" s="7" t="s">
        <v>13</v>
      </c>
      <c r="E20" s="6" t="s">
        <v>31</v>
      </c>
      <c r="F20" s="6" t="s">
        <v>15</v>
      </c>
      <c r="G20" s="6" t="s">
        <v>70</v>
      </c>
    </row>
    <row r="21" customFormat="false" ht="23.25" hidden="false" customHeight="true" outlineLevel="0" collapsed="false">
      <c r="A21" s="6" t="s">
        <v>71</v>
      </c>
      <c r="B21" s="6" t="s">
        <v>65</v>
      </c>
      <c r="C21" s="6" t="s">
        <v>72</v>
      </c>
      <c r="D21" s="7" t="s">
        <v>13</v>
      </c>
      <c r="E21" s="6" t="s">
        <v>31</v>
      </c>
      <c r="F21" s="6" t="s">
        <v>15</v>
      </c>
      <c r="G21" s="6" t="s">
        <v>73</v>
      </c>
    </row>
    <row r="22" customFormat="false" ht="23.25" hidden="false" customHeight="true" outlineLevel="0" collapsed="false">
      <c r="A22" s="6" t="s">
        <v>74</v>
      </c>
      <c r="B22" s="6" t="s">
        <v>75</v>
      </c>
      <c r="C22" s="6" t="s">
        <v>76</v>
      </c>
      <c r="D22" s="7" t="s">
        <v>13</v>
      </c>
      <c r="E22" s="6" t="s">
        <v>31</v>
      </c>
      <c r="F22" s="6" t="s">
        <v>15</v>
      </c>
      <c r="G22" s="6" t="s">
        <v>77</v>
      </c>
    </row>
    <row r="23" customFormat="false" ht="15" hidden="false" customHeight="true" outlineLevel="0" collapsed="false">
      <c r="A23" s="6" t="s">
        <v>78</v>
      </c>
      <c r="B23" s="6" t="s">
        <v>75</v>
      </c>
      <c r="C23" s="6" t="s">
        <v>79</v>
      </c>
      <c r="D23" s="7" t="s">
        <v>13</v>
      </c>
      <c r="E23" s="6" t="s">
        <v>36</v>
      </c>
      <c r="F23" s="6" t="s">
        <v>15</v>
      </c>
      <c r="G23" s="6" t="s">
        <v>80</v>
      </c>
    </row>
    <row r="24" customFormat="false" ht="23.25" hidden="false" customHeight="true" outlineLevel="0" collapsed="false">
      <c r="A24" s="6" t="s">
        <v>81</v>
      </c>
      <c r="B24" s="6" t="s">
        <v>75</v>
      </c>
      <c r="C24" s="6" t="s">
        <v>82</v>
      </c>
      <c r="D24" s="7" t="s">
        <v>13</v>
      </c>
      <c r="E24" s="6" t="s">
        <v>36</v>
      </c>
      <c r="F24" s="6" t="s">
        <v>15</v>
      </c>
      <c r="G24" s="6" t="s">
        <v>83</v>
      </c>
    </row>
    <row r="25" customFormat="false" ht="23.25" hidden="false" customHeight="true" outlineLevel="0" collapsed="false">
      <c r="A25" s="6" t="s">
        <v>84</v>
      </c>
      <c r="B25" s="6" t="s">
        <v>60</v>
      </c>
      <c r="C25" s="6" t="s">
        <v>85</v>
      </c>
      <c r="D25" s="7" t="s">
        <v>13</v>
      </c>
      <c r="E25" s="6" t="s">
        <v>31</v>
      </c>
      <c r="F25" s="6" t="s">
        <v>15</v>
      </c>
      <c r="G25" s="6" t="s">
        <v>86</v>
      </c>
    </row>
    <row r="26" customFormat="false" ht="34.5" hidden="false" customHeight="true" outlineLevel="0" collapsed="false">
      <c r="A26" s="6" t="s">
        <v>87</v>
      </c>
      <c r="B26" s="6" t="s">
        <v>21</v>
      </c>
      <c r="C26" s="6" t="s">
        <v>88</v>
      </c>
      <c r="D26" s="7" t="s">
        <v>13</v>
      </c>
      <c r="E26" s="6" t="s">
        <v>31</v>
      </c>
      <c r="F26" s="6" t="s">
        <v>15</v>
      </c>
      <c r="G26" s="6" t="s">
        <v>89</v>
      </c>
    </row>
    <row r="27" customFormat="false" ht="45.75" hidden="false" customHeight="true" outlineLevel="0" collapsed="false">
      <c r="A27" s="6" t="s">
        <v>90</v>
      </c>
      <c r="B27" s="6" t="s">
        <v>21</v>
      </c>
      <c r="C27" s="6" t="s">
        <v>91</v>
      </c>
      <c r="D27" s="7" t="s">
        <v>13</v>
      </c>
      <c r="E27" s="6" t="s">
        <v>14</v>
      </c>
      <c r="F27" s="6" t="s">
        <v>15</v>
      </c>
      <c r="G27" s="6" t="s">
        <v>92</v>
      </c>
    </row>
    <row r="28" customFormat="false" ht="34.5" hidden="false" customHeight="true" outlineLevel="0" collapsed="false">
      <c r="A28" s="6" t="s">
        <v>93</v>
      </c>
      <c r="B28" s="6" t="s">
        <v>21</v>
      </c>
      <c r="C28" s="6" t="s">
        <v>94</v>
      </c>
      <c r="D28" s="7" t="s">
        <v>13</v>
      </c>
      <c r="E28" s="6" t="s">
        <v>31</v>
      </c>
      <c r="F28" s="6" t="s">
        <v>15</v>
      </c>
      <c r="G28" s="6" t="s">
        <v>95</v>
      </c>
    </row>
    <row r="29" customFormat="false" ht="34.5" hidden="false" customHeight="true" outlineLevel="0" collapsed="false">
      <c r="A29" s="6" t="s">
        <v>96</v>
      </c>
      <c r="B29" s="6" t="s">
        <v>60</v>
      </c>
      <c r="C29" s="6" t="s">
        <v>97</v>
      </c>
      <c r="D29" s="9" t="s">
        <v>24</v>
      </c>
      <c r="E29" s="6" t="s">
        <v>31</v>
      </c>
      <c r="F29" s="10" t="s">
        <v>98</v>
      </c>
      <c r="G29" s="6" t="s">
        <v>99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4"/>
    <col collapsed="false" customWidth="true" hidden="false" outlineLevel="0" max="3" min="3" style="1" width="55"/>
    <col collapsed="false" customWidth="true" hidden="false" outlineLevel="0" max="4" min="4" style="1" width="16"/>
    <col collapsed="false" customWidth="true" hidden="false" outlineLevel="0" max="5" min="5" style="1" width="34"/>
  </cols>
  <sheetData>
    <row r="1" customFormat="false" ht="19.5" hidden="false" customHeight="true" outlineLevel="0" collapsed="false">
      <c r="A1" s="2" t="s">
        <v>100</v>
      </c>
      <c r="B1" s="2"/>
      <c r="C1" s="2"/>
      <c r="D1" s="2"/>
      <c r="E1" s="2"/>
    </row>
    <row r="2" customFormat="false" ht="15" hidden="false" customHeight="true" outlineLevel="0" collapsed="false">
      <c r="A2" s="3" t="s">
        <v>101</v>
      </c>
      <c r="B2" s="3"/>
      <c r="C2" s="3"/>
      <c r="D2" s="3"/>
      <c r="E2" s="3"/>
    </row>
    <row r="4" customFormat="false" ht="26.25" hidden="false" customHeight="true" outlineLevel="0" collapsed="false">
      <c r="A4" s="4" t="s">
        <v>102</v>
      </c>
      <c r="B4" s="4" t="s">
        <v>103</v>
      </c>
      <c r="C4" s="4" t="s">
        <v>104</v>
      </c>
      <c r="D4" s="4" t="s">
        <v>105</v>
      </c>
      <c r="E4" s="4" t="s">
        <v>8</v>
      </c>
    </row>
    <row r="5" customFormat="false" ht="57" hidden="false" customHeight="true" outlineLevel="0" collapsed="false">
      <c r="A5" s="6" t="s">
        <v>15</v>
      </c>
      <c r="B5" s="6" t="s">
        <v>106</v>
      </c>
      <c r="C5" s="6" t="s">
        <v>107</v>
      </c>
      <c r="D5" s="10" t="n">
        <v>200</v>
      </c>
      <c r="E5" s="6" t="s">
        <v>108</v>
      </c>
    </row>
    <row r="6" customFormat="false" ht="23.25" hidden="false" customHeight="true" outlineLevel="0" collapsed="false">
      <c r="A6" s="6" t="s">
        <v>109</v>
      </c>
      <c r="B6" s="6" t="s">
        <v>110</v>
      </c>
      <c r="C6" s="6" t="s">
        <v>111</v>
      </c>
      <c r="D6" s="10"/>
      <c r="E6" s="6" t="s">
        <v>112</v>
      </c>
    </row>
    <row r="7" customFormat="false" ht="34.5" hidden="false" customHeight="true" outlineLevel="0" collapsed="false">
      <c r="A7" s="6" t="s">
        <v>113</v>
      </c>
      <c r="B7" s="6" t="s">
        <v>114</v>
      </c>
      <c r="C7" s="6" t="s">
        <v>115</v>
      </c>
      <c r="D7" s="10"/>
      <c r="E7" s="6" t="s">
        <v>116</v>
      </c>
    </row>
    <row r="8" customFormat="false" ht="34.5" hidden="false" customHeight="true" outlineLevel="0" collapsed="false">
      <c r="A8" s="6" t="s">
        <v>117</v>
      </c>
      <c r="B8" s="6" t="s">
        <v>118</v>
      </c>
      <c r="C8" s="6" t="s">
        <v>119</v>
      </c>
      <c r="D8" s="10"/>
      <c r="E8" s="6" t="s">
        <v>120</v>
      </c>
    </row>
    <row r="10" customFormat="false" ht="15" hidden="false" customHeight="true" outlineLevel="0" collapsed="false">
      <c r="C10" s="5" t="s">
        <v>121</v>
      </c>
      <c r="D10" s="5" t="n">
        <f aca="false">SUM(D5:D8)</f>
        <v>200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2026-08-26T06:42:55Z</dcterms:created>
  <dc:creator>openpyxl</dc:creator>
  <dc:description/>
  <dc:language>en-US</dc:language>
  <cp:lastModifiedBy/>
  <dcterms:modified xsi:type="dcterms:W3CDTF">2026-08-26T17:24:22Z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